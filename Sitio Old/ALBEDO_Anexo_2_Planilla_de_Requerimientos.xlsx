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78047b2e534b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3ad7c78708774eb4"/>
    <x:sheet xmlns:r="http://schemas.openxmlformats.org/officeDocument/2006/relationships" name="Requerimientos Finales" sheetId="2" r:id="R7235c29245b7436b"/>
    <x:sheet xmlns:r="http://schemas.openxmlformats.org/officeDocument/2006/relationships" name="Trazabilidad Rubrica" sheetId="3" r:id="Re441257ec30e4c79"/>
    <x:sheet xmlns:r="http://schemas.openxmlformats.org/officeDocument/2006/relationships" name="Resumen" sheetId="4" r:id="R8e4c8295cb5f4f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191B"/>
      </x:patternFill>
    </x:fill>
    <x:fill>
      <x:patternFill patternType="solid">
        <x:fgColor rgb="FFF4F4F2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b/>
      </x:font>
      <x:fill>
        <x:patternFill patternType="solid">
          <x:bgColor rgb="FFD1E7DD"/>
        </x:patternFill>
      </x:fill>
    </x:dxf>
    <x:dxf>
      <x:font>
        <x:b/>
      </x:font>
      <x:fill>
        <x:patternFill patternType="solid">
          <x:bgColor rgb="FFFFF3CD"/>
        </x:patternFill>
      </x:fill>
    </x:dxf>
    <x:dxf>
      <x:font>
        <x:b/>
      </x:font>
      <x:fill>
        <x:patternFill patternType="solid">
          <x:bgColor rgb="FFF8D7DA"/>
        </x:patternFill>
      </x:fill>
    </x:dxf>
    <x:dxf>
      <x:font>
        <x:b/>
      </x:font>
      <x:fill>
        <x:patternFill patternType="solid">
          <x:bgColor rgb="FFD1E7DD"/>
        </x:patternFill>
      </x:fill>
    </x:dxf>
    <x:dxf>
      <x:font>
        <x:b/>
      </x:font>
      <x:fill>
        <x:patternFill patternType="solid">
          <x:bgColor rgb="FFFFF3CD"/>
        </x:patternFill>
      </x:fill>
    </x:dxf>
    <x:dxf>
      <x:font>
        <x:b/>
      </x:font>
      <x:fill>
        <x:patternFill patternType="solid">
          <x:bgColor rgb="FFF8D7DA"/>
        </x:patternFill>
      </x:fill>
    </x:dxf>
    <x:dxf>
      <x:font>
        <x:b/>
      </x:font>
      <x:fill>
        <x:patternFill patternType="solid">
          <x:bgColor rgb="FFF4F4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5111b807994f8c" /><Relationship Type="http://schemas.openxmlformats.org/officeDocument/2006/relationships/theme" Target="/xl/theme/theme1.xml" Id="Rbff23ea9edd945db" /><Relationship Type="http://schemas.openxmlformats.org/officeDocument/2006/relationships/sharedStrings" Target="/xl/sharedStrings.xml" Id="R933594a91c914564" /><Relationship Type="http://schemas.openxmlformats.org/officeDocument/2006/relationships/worksheet" Target="/xl/worksheets/sheet1.xml" Id="R3ad7c78708774eb4" /><Relationship Type="http://schemas.openxmlformats.org/officeDocument/2006/relationships/worksheet" Target="/xl/worksheets/sheet2.xml" Id="R7235c29245b7436b" /><Relationship Type="http://schemas.openxmlformats.org/officeDocument/2006/relationships/worksheet" Target="/xl/worksheets/sheet3.xml" Id="Re441257ec30e4c79" /><Relationship Type="http://schemas.openxmlformats.org/officeDocument/2006/relationships/worksheet" Target="/xl/worksheets/sheet4.xml" Id="R8e4c8295cb5f4fea" /></Relationships>
</file>

<file path=xl/tables/table1.xml><?xml version="1.0" encoding="utf-8"?>
<x:table xmlns:x="http://schemas.openxmlformats.org/spreadsheetml/2006/main" id="1" name="RequisitosFinales" displayName="RequisitosFinales" ref="A1:J34" headerRowCount="1" totalsRowCount="0" totalsRowShown="0">
  <x:tableColumns count="10">
    <x:tableColumn id="1" name="Código"/>
    <x:tableColumn id="2" name="Nombre del Requerimiento"/>
    <x:tableColumn id="3" name="Tipo"/>
    <x:tableColumn id="4" name="Clasificación"/>
    <x:tableColumn id="5" name="Actores Relacionados"/>
    <x:tableColumn id="6" name="Descripción"/>
    <x:tableColumn id="7" name="Criterio de Aceptación"/>
    <x:tableColumn id="8" name="Evidencia / Implementación"/>
    <x:tableColumn id="9" name="Estado"/>
    <x:tableColumn id="10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7f91cd9816468f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5" hidden="0" customWidth="1"/>
  </x:cols>
  <x:sheetData>
    <x:row r="1" ht="34" customHeight="1">
      <x:c r="A1" s="6" t="str">
        <x:v>Columna</x:v>
      </x:c>
      <x:c r="B1" s="6" t="str">
        <x:v>Instrucciones</x:v>
      </x:c>
    </x:row>
    <x:row r="2">
      <x:c r="A2" s="12" t="str">
        <x:v>Código</x:v>
      </x:c>
      <x:c r="B2" s="12" t="str">
        <x:v>Identificador único del requisito (ej.: R.1, R.2, RNF.1).</x:v>
      </x:c>
    </x:row>
    <x:row r="3">
      <x:c r="A3" s="12" t="str">
        <x:v>Nombre del Requerimiento</x:v>
      </x:c>
      <x:c r="B3" s="12" t="str">
        <x:v>Nombre breve y representativo del requisito.</x:v>
      </x:c>
    </x:row>
    <x:row r="4">
      <x:c r="A4" s="12" t="str">
        <x:v>Tipo Requerimiento</x:v>
      </x:c>
      <x:c r="B4" s="12" t="str">
        <x:v>Funcional o No Funcional.</x:v>
      </x:c>
    </x:row>
    <x:row r="5">
      <x:c r="A5" s="12" t="str">
        <x:v>Clasificación</x:v>
      </x:c>
      <x:c r="B5" s="12" t="str">
        <x:v>Funcional de usuario, Funcional de sistema, No funcional de producto, No funcional de organización o Externo.</x:v>
      </x:c>
    </x:row>
    <x:row r="6">
      <x:c r="A6" s="12" t="str">
        <x:v>Actores Relacionados</x:v>
      </x:c>
      <x:c r="B6" s="12" t="str">
        <x:v>Usuario o rol que se relaciona con el requisito.</x:v>
      </x:c>
    </x:row>
    <x:row r="7">
      <x:c r="A7" s="12" t="str">
        <x:v>Descripción</x:v>
      </x:c>
      <x:c r="B7" s="12" t="str">
        <x:v>Explica qué debe realizar o cumplir el sistema.</x:v>
      </x:c>
    </x:row>
    <x:row r="8">
      <x:c r="A8" s="12" t="str">
        <x:v>Criterio de Aceptación</x:v>
      </x:c>
      <x:c r="B8" s="12" t="str">
        <x:v>Condiciones verificables que deben cumplirse para considerar satisfecho el requisito.</x:v>
      </x:c>
    </x:row>
    <x:row r="9">
      <x:c r="A9" s="12" t="str">
        <x:v>Evidencia / Implementación</x:v>
      </x:c>
      <x:c r="B9" s="12" t="str">
        <x:v>Archivos, vistas o mecanismos del proyecto donde se puede comprobar el cumplimiento.</x:v>
      </x:c>
    </x:row>
    <x:row r="10">
      <x:c r="A10" s="12" t="str">
        <x:v>Estado</x:v>
      </x:c>
      <x:c r="B10" s="12" t="str">
        <x:v>Completado, Implementado - QA final, Requiere ajuste, Pendiente.</x:v>
      </x:c>
    </x:row>
    <x:row r="11">
      <x:c r="A11" s="12" t="str">
        <x:v>Observaciones</x:v>
      </x:c>
      <x:c r="B11" s="12" t="str">
        <x:v>Notas de alcance, validación o diferencias detectadas frente al Anexo 1.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4" hidden="0" customWidth="1"/>
    <x:col min="4" max="4" width="22" hidden="0" customWidth="1"/>
    <x:col min="5" max="5" width="22" hidden="0" customWidth="1"/>
    <x:col min="6" max="6" width="46" hidden="0" customWidth="1"/>
    <x:col min="7" max="7" width="50" hidden="0" customWidth="1"/>
    <x:col min="8" max="8" width="44" hidden="0" customWidth="1"/>
    <x:col min="9" max="9" width="20" hidden="0" customWidth="1"/>
    <x:col min="10" max="10" width="34" hidden="0" customWidth="1"/>
  </x:cols>
  <x:sheetData>
    <x:row r="1" ht="34" customHeight="1">
      <x:c r="A1" s="6" t="str">
        <x:v>Código</x:v>
      </x:c>
      <x:c r="B1" s="6" t="str">
        <x:v>Nombre del Requerimiento</x:v>
      </x:c>
      <x:c r="C1" s="6" t="str">
        <x:v>Tipo</x:v>
      </x:c>
      <x:c r="D1" s="6" t="str">
        <x:v>Clasificación</x:v>
      </x:c>
      <x:c r="E1" s="6" t="str">
        <x:v>Actores Relacionados</x:v>
      </x:c>
      <x:c r="F1" s="6" t="str">
        <x:v>Descripción</x:v>
      </x:c>
      <x:c r="G1" s="6" t="str">
        <x:v>Criterio de Aceptación</x:v>
      </x:c>
      <x:c r="H1" s="6" t="str">
        <x:v>Evidencia / Implementación</x:v>
      </x:c>
      <x:c r="I1" s="6" t="str">
        <x:v>Estado</x:v>
      </x:c>
      <x:c r="J1" s="6" t="str">
        <x:v>Observaciones</x:v>
      </x:c>
    </x:row>
    <x:row r="2">
      <x:c r="A2" s="14" t="str">
        <x:v>R.1</x:v>
      </x:c>
      <x:c r="B2" s="14" t="str">
        <x:v>Página principal HOME</x:v>
      </x:c>
      <x:c r="C2" s="14" t="str">
        <x:v>Funcional</x:v>
      </x:c>
      <x:c r="D2" s="14" t="str">
        <x:v>Funcional de usuario</x:v>
      </x:c>
      <x:c r="E2" s="14" t="str">
        <x:v>Cliente / Visitante</x:v>
      </x:c>
      <x:c r="F2" s="14" t="str">
        <x:v>La tienda debe disponer de una página principal navegable con logo, acceso al carrito, componente principal con imagen e información de la tienda, productos destacados y footer.</x:v>
      </x:c>
      <x:c r="G2" s="14" t="str">
        <x:v>Al abrir index.html se visualiza logo, navegación, hero, productos destacados, acceso al carrito y footer.</x:v>
      </x:c>
      <x:c r="H2" s="14" t="str">
        <x:v>index.html; estilos.css; img/logo-albedo.png; img/portada-albedo.png</x:v>
      </x:c>
      <x:c r="I2" s="14" t="str">
        <x:v>Completado</x:v>
      </x:c>
      <x:c r="J2" s="14" t="str">
        <x:v>Anexo 1, págs. 3-4.</x:v>
      </x:c>
    </x:row>
    <x:row r="3">
      <x:c r="A3" s="14" t="str">
        <x:v>R.2</x:v>
      </x:c>
      <x:c r="B3" s="14" t="str">
        <x:v>Navegación entre páginas</x:v>
      </x:c>
      <x:c r="C3" s="14" t="str">
        <x:v>Funcional</x:v>
      </x:c>
      <x:c r="D3" s="14" t="str">
        <x:v>Funcional de usuario</x:v>
      </x:c>
      <x:c r="E3" s="14" t="str">
        <x:v>Todos los usuarios</x:v>
      </x:c>
      <x:c r="F3" s="14" t="str">
        <x:v>El sistema debe permitir navegar entre las vistas mediante hipervínculos, menús y elementos de navegación visibles.</x:v>
      </x:c>
      <x:c r="G3" s="14" t="str">
        <x:v>Los enlaces principales permiten acceder a Inicio, Productos, Nosotros, Blog, Contacto, Carrito y vistas según rol sin enlaces rotos.</x:v>
      </x:c>
      <x:c r="H3" s="14" t="str">
        <x:v>index.html; productos.html; nosotros.html; blog.html; contacto.html; carrito.html; sesion.js</x:v>
      </x:c>
      <x:c r="I3" s="14" t="str">
        <x:v>Completado</x:v>
      </x:c>
      <x:c r="J3" s="14" t="str">
        <x:v>Anexo 1, págs. 1-3.</x:v>
      </x:c>
    </x:row>
    <x:row r="4">
      <x:c r="A4" s="14" t="str">
        <x:v>R.3</x:v>
      </x:c>
      <x:c r="B4" s="14" t="str">
        <x:v>Estructura HTML semántica</x:v>
      </x:c>
      <x:c r="C4" s="14" t="str">
        <x:v>No Funcional</x:v>
      </x:c>
      <x:c r="D4" s="14" t="str">
        <x:v>No funcional de producto</x:v>
      </x:c>
      <x:c r="E4" s="14" t="str">
        <x:v>Todos los usuarios</x:v>
      </x:c>
      <x:c r="F4" s="14" t="str">
        <x:v>Las páginas deben utilizar HTML actual y una estructura clara y semántica con encabezados, secciones, párrafos, listas, navegación y footer cuando corresponda.</x:v>
      </x:c>
      <x:c r="G4" s="14" t="str">
        <x:v>Las vistas usan etiquetas como header, nav, main, section, article, form y footer de forma consistente.</x:v>
      </x:c>
      <x:c r="H4" s="14" t="str">
        <x:v>Vistas HTML del proyecto</x:v>
      </x:c>
      <x:c r="I4" s="14" t="str">
        <x:v>Completado</x:v>
      </x:c>
      <x:c r="J4" s="14" t="str">
        <x:v>Anexo 1, pág. 1.</x:v>
      </x:c>
    </x:row>
    <x:row r="5">
      <x:c r="A5" s="14" t="str">
        <x:v>R.4</x:v>
      </x:c>
      <x:c r="B5" s="14" t="str">
        <x:v>Elementos interactivos e imágenes</x:v>
      </x:c>
      <x:c r="C5" s="14" t="str">
        <x:v>Funcional</x:v>
      </x:c>
      <x:c r="D5" s="14" t="str">
        <x:v>Funcional de usuario</x:v>
      </x:c>
      <x:c r="E5" s="14" t="str">
        <x:v>Cliente / Visitante</x:v>
      </x:c>
      <x:c r="F5" s="14" t="str">
        <x:v>La interfaz debe incorporar imágenes, botones, menús, formularios y otros elementos interactivos requeridos por la navegación de la tienda.</x:v>
      </x:c>
      <x:c r="G5" s="14" t="str">
        <x:v>Se visualizan imágenes de productos, botones de navegación/acción, formularios y menús funcionales.</x:v>
      </x:c>
      <x:c r="H5" s="14" t="str">
        <x:v>index.html; productos.html; producto-detalle.html; contacto.html; registro.html; login.html</x:v>
      </x:c>
      <x:c r="I5" s="14" t="str">
        <x:v>Completado</x:v>
      </x:c>
      <x:c r="J5" s="14" t="str">
        <x:v>Anexo 1, pág. 1.</x:v>
      </x:c>
    </x:row>
    <x:row r="6">
      <x:c r="A6" s="14" t="str">
        <x:v>R.5</x:v>
      </x:c>
      <x:c r="B6" s="14" t="str">
        <x:v>Contenido de video</x:v>
      </x:c>
      <x:c r="C6" s="14" t="str">
        <x:v>Funcional</x:v>
      </x:c>
      <x:c r="D6" s="14" t="str">
        <x:v>Funcional de usuario</x:v>
      </x:c>
      <x:c r="E6" s="14" t="str">
        <x:v>Cliente / Visitante</x:v>
      </x:c>
      <x:c r="F6" s="14" t="str">
        <x:v>La tienda incorpora un elemento de video como contenido multimedia del proyecto.</x:v>
      </x:c>
      <x:c r="G6" s="14" t="str">
        <x:v>index.html contiene un elemento &lt;video&gt; reproducible con source MP4 local.</x:v>
      </x:c>
      <x:c r="H6" s="14" t="str">
        <x:v>index.html; video/aventura-albedo.mp4</x:v>
      </x:c>
      <x:c r="I6" s="14" t="str">
        <x:v>Completado</x:v>
      </x:c>
      <x:c r="J6" s="14" t="str">
        <x:v>Elemento incorporado para cubrir la pauta de contenido HTML.</x:v>
      </x:c>
    </x:row>
    <x:row r="7">
      <x:c r="A7" s="14" t="str">
        <x:v>R.6</x:v>
      </x:c>
      <x:c r="B7" s="14" t="str">
        <x:v>Hoja de estilos CSS externa</x:v>
      </x:c>
      <x:c r="C7" s="14" t="str">
        <x:v>No Funcional</x:v>
      </x:c>
      <x:c r="D7" s="14" t="str">
        <x:v>No funcional de producto</x:v>
      </x:c>
      <x:c r="E7" s="14" t="str">
        <x:v>Todos los usuarios</x:v>
      </x:c>
      <x:c r="F7" s="14" t="str">
        <x:v>El proyecto debe utilizar hojas de estilos personalizadas enlazadas externamente para facilitar mantenimiento y reutilización.</x:v>
      </x:c>
      <x:c r="G7" s="14" t="str">
        <x:v>Las vistas enlazan estilos.css o admin.css; no dependen solo de estilos inline.</x:v>
      </x:c>
      <x:c r="H7" s="14" t="str">
        <x:v>estilos.css; admin.css; enlaces &lt;link&gt; en HTML</x:v>
      </x:c>
      <x:c r="I7" s="14" t="str">
        <x:v>Completado</x:v>
      </x:c>
      <x:c r="J7" s="14" t="str">
        <x:v>Anexo 1, pág. 1.</x:v>
      </x:c>
    </x:row>
    <x:row r="8">
      <x:c r="A8" s="14" t="str">
        <x:v>R.7</x:v>
      </x:c>
      <x:c r="B8" s="14" t="str">
        <x:v>Diseño consistente y responsivo</x:v>
      </x:c>
      <x:c r="C8" s="14" t="str">
        <x:v>No Funcional</x:v>
      </x:c>
      <x:c r="D8" s="14" t="str">
        <x:v>No funcional de producto</x:v>
      </x:c>
      <x:c r="E8" s="14" t="str">
        <x:v>Todos los usuarios</x:v>
      </x:c>
      <x:c r="F8" s="14" t="str">
        <x:v>La interfaz debe mantener una apariencia consistente y adaptarse a distintos tamaños de pantalla.</x:v>
      </x:c>
      <x:c r="G8" s="14" t="str">
        <x:v>Las páginas mantienen identidad visual y usan breakpoints/media queries; no deben presentar desbordamientos horizontales en móvil.</x:v>
      </x:c>
      <x:c r="H8" s="14" t="str">
        <x:v>estilos.css; admin.css; Bootstrap 5.3.3</x:v>
      </x:c>
      <x:c r="I8" s="14" t="str">
        <x:v>Implementado - QA final</x:v>
      </x:c>
      <x:c r="J8" s="14" t="str">
        <x:v>Responsive implementado; falta cerrar validación visual página por página antes de la entrega.</x:v>
      </x:c>
    </x:row>
    <x:row r="9">
      <x:c r="A9" s="14" t="str">
        <x:v>R.8</x:v>
      </x:c>
      <x:c r="B9" s="14" t="str">
        <x:v>Registro de usuario</x:v>
      </x:c>
      <x:c r="C9" s="14" t="str">
        <x:v>Funcional</x:v>
      </x:c>
      <x:c r="D9" s="14" t="str">
        <x:v>Funcional de usuario</x:v>
      </x:c>
      <x:c r="E9" s="14" t="str">
        <x:v>Cliente</x:v>
      </x:c>
      <x:c r="F9" s="14" t="str">
        <x:v>La tienda debe disponer de una vista de registro usando los datos y reglas del usuario del sistema.</x:v>
      </x:c>
      <x:c r="G9" s="14" t="str">
        <x:v>registro.html permite crear un usuario Cliente y guarda sus datos en localStorage tras validar los campos.</x:v>
      </x:c>
      <x:c r="H9" s="14" t="str">
        <x:v>registro.html; registro.js; localStorage usuariosAlbedo</x:v>
      </x:c>
      <x:c r="I9" s="14" t="str">
        <x:v>Completado</x:v>
      </x:c>
      <x:c r="J9" s="14" t="str">
        <x:v>Anexo 1, págs. 5 y 13.</x:v>
      </x:c>
    </x:row>
    <x:row r="10">
      <x:c r="A10" s="14" t="str">
        <x:v>R.9</x:v>
      </x:c>
      <x:c r="B10" s="14" t="str">
        <x:v>Vista de inicio de sesión</x:v>
      </x:c>
      <x:c r="C10" s="14" t="str">
        <x:v>Funcional</x:v>
      </x:c>
      <x:c r="D10" s="14" t="str">
        <x:v>Funcional de usuario</x:v>
      </x:c>
      <x:c r="E10" s="14" t="str">
        <x:v>Administrador / Cliente / Vendedor</x:v>
      </x:c>
      <x:c r="F10" s="14" t="str">
        <x:v>Debe existir una vista de inicio de sesión con logo, nombre de empresa y formulario de acceso.</x:v>
      </x:c>
      <x:c r="G10" s="14" t="str">
        <x:v>login.html muestra identidad ALBEDO y formulario de correo/contraseña.</x:v>
      </x:c>
      <x:c r="H10" s="14" t="str">
        <x:v>login.html</x:v>
      </x:c>
      <x:c r="I10" s="14" t="str">
        <x:v>Completado</x:v>
      </x:c>
      <x:c r="J10" s="14" t="str">
        <x:v>Anexo 1, pág. 6.</x:v>
      </x:c>
    </x:row>
    <x:row r="11">
      <x:c r="A11" s="14" t="str">
        <x:v>R.10</x:v>
      </x:c>
      <x:c r="B11" s="14" t="str">
        <x:v>Validación de inicio de sesión</x:v>
      </x:c>
      <x:c r="C11" s="14" t="str">
        <x:v>Funcional</x:v>
      </x:c>
      <x:c r="D11" s="14" t="str">
        <x:v>Funcional de sistema</x:v>
      </x:c>
      <x:c r="E11" s="14" t="str">
        <x:v>Administrador / Cliente / Vendedor</x:v>
      </x:c>
      <x:c r="F11" s="14" t="str">
        <x:v>Correo requerido, máximo 100 caracteres y dominios @duoc.cl, @profesor.duoc.cl o @gmail.com; contraseña requerida entre 4 y 10 caracteres.</x:v>
      </x:c>
      <x:c r="G11" s="14" t="str">
        <x:v>El formulario debe aceptar contraseñas válidas de 4 a 10 caracteres y rechazar fuera de rango; debe validar correo y credenciales.</x:v>
      </x:c>
      <x:c r="H11" s="14" t="str">
        <x:v>login.js; login.html</x:v>
      </x:c>
      <x:c r="I11" s="14" t="str">
        <x:v>Requiere ajuste</x:v>
      </x:c>
      <x:c r="J11" s="14" t="str">
        <x:v>El proyecto actualmente usa regla de 10 caracteres exactos. Debe cambiarse a 4-10 para coincidir literalmente con el Anexo 1.</x:v>
      </x:c>
    </x:row>
    <x:row r="12">
      <x:c r="A12" s="14" t="str">
        <x:v>R.11</x:v>
      </x:c>
      <x:c r="B12" s="14" t="str">
        <x:v>Página Nosotros</x:v>
      </x:c>
      <x:c r="C12" s="14" t="str">
        <x:v>Funcional</x:v>
      </x:c>
      <x:c r="D12" s="14" t="str">
        <x:v>Funcional de usuario</x:v>
      </x:c>
      <x:c r="E12" s="14" t="str">
        <x:v>Cliente / Visitante</x:v>
      </x:c>
      <x:c r="F12" s="14" t="str">
        <x:v>Debe existir una página que explique la empresa y presente a los desarrolladores.</x:v>
      </x:c>
      <x:c r="G12" s="14" t="str">
        <x:v>nosotros.html incluye descripción de ALBEDO y presentación del equipo.</x:v>
      </x:c>
      <x:c r="H12" s="14" t="str">
        <x:v>nosotros.html</x:v>
      </x:c>
      <x:c r="I12" s="14" t="str">
        <x:v>Completado</x:v>
      </x:c>
      <x:c r="J12" s="14" t="str">
        <x:v>Anexo 1, pág. 6.</x:v>
      </x:c>
    </x:row>
    <x:row r="13">
      <x:c r="A13" s="14" t="str">
        <x:v>R.12</x:v>
      </x:c>
      <x:c r="B13" s="14" t="str">
        <x:v>Vista Blog</x:v>
      </x:c>
      <x:c r="C13" s="14" t="str">
        <x:v>Funcional</x:v>
      </x:c>
      <x:c r="D13" s="14" t="str">
        <x:v>Funcional de usuario</x:v>
      </x:c>
      <x:c r="E13" s="14" t="str">
        <x:v>Cliente / Visitante</x:v>
      </x:c>
      <x:c r="F13" s="14" t="str">
        <x:v>La tienda debe disponer de una vista con noticias o contenido relacionado con el contexto outdoor.</x:v>
      </x:c>
      <x:c r="G13" s="14" t="str">
        <x:v>blog.html muestra noticias con imagen, título y descripción corta.</x:v>
      </x:c>
      <x:c r="H13" s="14" t="str">
        <x:v>blog.html</x:v>
      </x:c>
      <x:c r="I13" s="14" t="str">
        <x:v>Completado</x:v>
      </x:c>
      <x:c r="J13" s="14" t="str">
        <x:v>Anexo 1, págs. 6-7.</x:v>
      </x:c>
    </x:row>
    <x:row r="14">
      <x:c r="A14" s="14" t="str">
        <x:v>R.13</x:v>
      </x:c>
      <x:c r="B14" s="14" t="str">
        <x:v>Dos detalles de Blog</x:v>
      </x:c>
      <x:c r="C14" s="14" t="str">
        <x:v>Funcional</x:v>
      </x:c>
      <x:c r="D14" s="14" t="str">
        <x:v>Funcional de usuario</x:v>
      </x:c>
      <x:c r="E14" s="14" t="str">
        <x:v>Cliente / Visitante</x:v>
      </x:c>
      <x:c r="F14" s="14" t="str">
        <x:v>Se deben crear dos vistas de detalle de blog con imagen, título y descripción larga.</x:v>
      </x:c>
      <x:c r="G14" s="14" t="str">
        <x:v>Existen dos páginas de detalle navegables desde el blog.</x:v>
      </x:c>
      <x:c r="H14" s="14" t="str">
        <x:v>blog-detalle-1.html; blog-detalle-2.html</x:v>
      </x:c>
      <x:c r="I14" s="14" t="str">
        <x:v>Completado</x:v>
      </x:c>
      <x:c r="J14" s="14" t="str">
        <x:v>Anexo 1, pág. 6.</x:v>
      </x:c>
    </x:row>
    <x:row r="15">
      <x:c r="A15" s="14" t="str">
        <x:v>R.14</x:v>
      </x:c>
      <x:c r="B15" s="14" t="str">
        <x:v>Formulario de contacto</x:v>
      </x:c>
      <x:c r="C15" s="14" t="str">
        <x:v>Funcional</x:v>
      </x:c>
      <x:c r="D15" s="14" t="str">
        <x:v>Funcional de usuario</x:v>
      </x:c>
      <x:c r="E15" s="14" t="str">
        <x:v>Cliente / Visitante</x:v>
      </x:c>
      <x:c r="F15" s="14" t="str">
        <x:v>Debe existir una vista de contacto para el ingreso y envío de mensajes.</x:v>
      </x:c>
      <x:c r="G15" s="14" t="str">
        <x:v>contacto.html contiene formulario funcional y entrega confirmación al usuario.</x:v>
      </x:c>
      <x:c r="H15" s="14" t="str">
        <x:v>contacto.html; funciones.js</x:v>
      </x:c>
      <x:c r="I15" s="14" t="str">
        <x:v>Completado</x:v>
      </x:c>
      <x:c r="J15" s="14" t="str">
        <x:v>Anexo 1, págs. 7 y 13-14.</x:v>
      </x:c>
    </x:row>
    <x:row r="16">
      <x:c r="A16" s="14" t="str">
        <x:v>R.15</x:v>
      </x:c>
      <x:c r="B16" s="14" t="str">
        <x:v>Validación de contacto</x:v>
      </x:c>
      <x:c r="C16" s="14" t="str">
        <x:v>Funcional</x:v>
      </x:c>
      <x:c r="D16" s="14" t="str">
        <x:v>Funcional de sistema</x:v>
      </x:c>
      <x:c r="E16" s="14" t="str">
        <x:v>Cliente / Visitante</x:v>
      </x:c>
      <x:c r="F16" s="14" t="str">
        <x:v>Nombre requerido máx. 100; correo máx. 100 con dominios permitidos; comentario requerido máx. 500; feedback personalizado y dinámico.</x:v>
      </x:c>
      <x:c r="G16" s="14" t="str">
        <x:v>Las validaciones ocurren con JavaScript, muestran errores/sugerencias y bloquean envío inválido.</x:v>
      </x:c>
      <x:c r="H16" s="14" t="str">
        <x:v>funciones.js; contacto.html</x:v>
      </x:c>
      <x:c r="I16" s="14" t="str">
        <x:v>Completado</x:v>
      </x:c>
      <x:c r="J16" s="14" t="str">
        <x:v>Anexo 1, págs. 13-14.</x:v>
      </x:c>
    </x:row>
    <x:row r="17">
      <x:c r="A17" s="14" t="str">
        <x:v>R.16</x:v>
      </x:c>
      <x:c r="B17" s="14" t="str">
        <x:v>Listado de productos mediante JavaScript</x:v>
      </x:c>
      <x:c r="C17" s="14" t="str">
        <x:v>Funcional</x:v>
      </x:c>
      <x:c r="D17" s="14" t="str">
        <x:v>Funcional de sistema</x:v>
      </x:c>
      <x:c r="E17" s="14" t="str">
        <x:v>Cliente / Visitante</x:v>
      </x:c>
      <x:c r="F17" s="14" t="str">
        <x:v>Los productos deben definirse en un arreglo JavaScript y mostrarse dinámicamente con imagen, nombre y precio.</x:v>
      </x:c>
      <x:c r="G17" s="14" t="str">
        <x:v>El catálogo se genera desde datos JavaScript y presenta productos por categoría.</x:v>
      </x:c>
      <x:c r="H17" s="14" t="str">
        <x:v>productos.js; catalogo.js; productos.html</x:v>
      </x:c>
      <x:c r="I17" s="14" t="str">
        <x:v>Completado</x:v>
      </x:c>
      <x:c r="J17" s="14" t="str">
        <x:v>Anexo 1, págs. 8 y 14.</x:v>
      </x:c>
    </x:row>
    <x:row r="18">
      <x:c r="A18" s="14" t="str">
        <x:v>R.17</x:v>
      </x:c>
      <x:c r="B18" s="14" t="str">
        <x:v>Detalle de producto</x:v>
      </x:c>
      <x:c r="C18" s="14" t="str">
        <x:v>Funcional</x:v>
      </x:c>
      <x:c r="D18" s="14" t="str">
        <x:v>Funcional de usuario</x:v>
      </x:c>
      <x:c r="E18" s="14" t="str">
        <x:v>Cliente / Visitante</x:v>
      </x:c>
      <x:c r="F18" s="14" t="str">
        <x:v>Al seleccionar un producto se debe abrir una vista de detalle con información del producto.</x:v>
      </x:c>
      <x:c r="G18" s="14" t="str">
        <x:v>producto-detalle.html carga el producto solicitado por identificador y muestra su información.</x:v>
      </x:c>
      <x:c r="H18" s="14" t="str">
        <x:v>producto-detalle.html; producto-detalle.js</x:v>
      </x:c>
      <x:c r="I18" s="14" t="str">
        <x:v>Completado</x:v>
      </x:c>
      <x:c r="J18" s="14" t="str">
        <x:v>Anexo 1, pág. 9.</x:v>
      </x:c>
    </x:row>
    <x:row r="19">
      <x:c r="A19" s="14" t="str">
        <x:v>R.18</x:v>
      </x:c>
      <x:c r="B19" s="14" t="str">
        <x:v>Añadir producto al carrito</x:v>
      </x:c>
      <x:c r="C19" s="14" t="str">
        <x:v>Funcional</x:v>
      </x:c>
      <x:c r="D19" s="14" t="str">
        <x:v>Funcional de sistema</x:v>
      </x:c>
      <x:c r="E19" s="14" t="str">
        <x:v>Cliente / Visitante</x:v>
      </x:c>
      <x:c r="F19" s="14" t="str">
        <x:v>Desde Productos o Detalle debe poder añadirse un producto al carrito.</x:v>
      </x:c>
      <x:c r="G19" s="14" t="str">
        <x:v>Los botones de compra agregan productos y cantidades al carrito.</x:v>
      </x:c>
      <x:c r="H19" s="14" t="str">
        <x:v>catalogo.js; producto-detalle.js; carrito.js</x:v>
      </x:c>
      <x:c r="I19" s="14" t="str">
        <x:v>Completado</x:v>
      </x:c>
      <x:c r="J19" s="14" t="str">
        <x:v>Anexo 1, págs. 8-9 y 14.</x:v>
      </x:c>
    </x:row>
    <x:row r="20">
      <x:c r="A20" s="14" t="str">
        <x:v>R.19</x:v>
      </x:c>
      <x:c r="B20" s="14" t="str">
        <x:v>Carrito con localStorage</x:v>
      </x:c>
      <x:c r="C20" s="14" t="str">
        <x:v>Funcional</x:v>
      </x:c>
      <x:c r="D20" s="14" t="str">
        <x:v>Funcional de sistema</x:v>
      </x:c>
      <x:c r="E20" s="14" t="str">
        <x:v>Cliente</x:v>
      </x:c>
      <x:c r="F20" s="14" t="str">
        <x:v>El carrito debe aplicar reglas de compra y persistir su información mediante localStorage.</x:v>
      </x:c>
      <x:c r="G20" s="14" t="str">
        <x:v>carritoAlbedo conserva productos, cantidades y total; la compra genera una orden y limpia el carrito.</x:v>
      </x:c>
      <x:c r="H20" s="14" t="str">
        <x:v>carrito.html; carrito.js; localStorage carritoAlbedo</x:v>
      </x:c>
      <x:c r="I20" s="14" t="str">
        <x:v>Completado</x:v>
      </x:c>
      <x:c r="J20" s="14" t="str">
        <x:v>Anexo 1, pág. 14.</x:v>
      </x:c>
    </x:row>
    <x:row r="21">
      <x:c r="A21" s="14" t="str">
        <x:v>R.20</x:v>
      </x:c>
      <x:c r="B21" s="14" t="str">
        <x:v>Home del administrador protegido</x:v>
      </x:c>
      <x:c r="C21" s="14" t="str">
        <x:v>Funcional</x:v>
      </x:c>
      <x:c r="D21" s="14" t="str">
        <x:v>Funcional de usuario</x:v>
      </x:c>
      <x:c r="E21" s="14" t="str">
        <x:v>Administrador</x:v>
      </x:c>
      <x:c r="F21" s="14" t="str">
        <x:v>Debe existir un home administrativo con menú visible y contenido central, protegido por autenticación y permisos.</x:v>
      </x:c>
      <x:c r="G21" s="14" t="str">
        <x:v>admin.html muestra dashboard y admin-seguridad.js bloquea accesos no autorizados.</x:v>
      </x:c>
      <x:c r="H21" s="14" t="str">
        <x:v>admin.html; admin-inicio.js; admin-seguridad.js; admin.css</x:v>
      </x:c>
      <x:c r="I21" s="14" t="str">
        <x:v>Completado</x:v>
      </x:c>
      <x:c r="J21" s="14" t="str">
        <x:v>Anexo 1, págs. 10-11.</x:v>
      </x:c>
    </x:row>
    <x:row r="22">
      <x:c r="A22" s="14" t="str">
        <x:v>R.21</x:v>
      </x:c>
      <x:c r="B22" s="14" t="str">
        <x:v>Mantenedor de productos</x:v>
      </x:c>
      <x:c r="C22" s="14" t="str">
        <x:v>Funcional</x:v>
      </x:c>
      <x:c r="D22" s="14" t="str">
        <x:v>Funcional de sistema</x:v>
      </x:c>
      <x:c r="E22" s="14" t="str">
        <x:v>Administrador</x:v>
      </x:c>
      <x:c r="F22" s="14" t="str">
        <x:v>El Administrador debe listar, crear y editar productos.</x:v>
      </x:c>
      <x:c r="G22" s="14" t="str">
        <x:v>La vista permite registrar, listar y editar productos persistidos en localStorage.</x:v>
      </x:c>
      <x:c r="H22" s="14" t="str">
        <x:v>admin-productos.html; admin-productos.js</x:v>
      </x:c>
      <x:c r="I22" s="14" t="str">
        <x:v>Completado</x:v>
      </x:c>
      <x:c r="J22" s="14" t="str">
        <x:v>Anexo 1, págs. 11-15.</x:v>
      </x:c>
    </x:row>
    <x:row r="23">
      <x:c r="A23" s="14" t="str">
        <x:v>R.22</x:v>
      </x:c>
      <x:c r="B23" s="14" t="str">
        <x:v>Validaciones de producto</x:v>
      </x:c>
      <x:c r="C23" s="14" t="str">
        <x:v>Funcional</x:v>
      </x:c>
      <x:c r="D23" s="14" t="str">
        <x:v>Funcional de sistema</x:v>
      </x:c>
      <x:c r="E23" s="14" t="str">
        <x:v>Administrador</x:v>
      </x:c>
      <x:c r="F23" s="14" t="str">
        <x:v>Código requerido min. 3; nombre requerido máx. 100; descripción opcional máx. 500; precio &gt;=0 decimal; stock &gt;=0 entero; stock crítico opcional &gt;=0 entero; categoría requerida; imagen opcional.</x:v>
      </x:c>
      <x:c r="G23" s="14" t="str">
        <x:v>El formulario valida cada campo y muestra feedback de error/correcto antes de guardar.</x:v>
      </x:c>
      <x:c r="H23" s="14" t="str">
        <x:v>admin-productos.js; admin-productos.html</x:v>
      </x:c>
      <x:c r="I23" s="14" t="str">
        <x:v>Completado</x:v>
      </x:c>
      <x:c r="J23" s="14" t="str">
        <x:v>Anexo 1, págs. 14-15.</x:v>
      </x:c>
    </x:row>
    <x:row r="24">
      <x:c r="A24" s="14" t="str">
        <x:v>R.23</x:v>
      </x:c>
      <x:c r="B24" s="14" t="str">
        <x:v>Alerta de stock crítico</x:v>
      </x:c>
      <x:c r="C24" s="14" t="str">
        <x:v>Funcional</x:v>
      </x:c>
      <x:c r="D24" s="14" t="str">
        <x:v>Funcional de sistema</x:v>
      </x:c>
      <x:c r="E24" s="14" t="str">
        <x:v>Administrador</x:v>
      </x:c>
      <x:c r="F24" s="14" t="str">
        <x:v>Debe mostrarse una alerta cuando el stock sea igual o inferior al stock crítico configurado.</x:v>
      </x:c>
      <x:c r="G24" s="14" t="str">
        <x:v>El listado administrativo muestra badge 'Stock crítico' cuando stock &lt;= stockCritico.</x:v>
      </x:c>
      <x:c r="H24" s="14" t="str">
        <x:v>admin-productos.js</x:v>
      </x:c>
      <x:c r="I24" s="14" t="str">
        <x:v>Completado</x:v>
      </x:c>
      <x:c r="J24" s="14" t="str">
        <x:v>Anexo 1, pág. 15.</x:v>
      </x:c>
    </x:row>
    <x:row r="25">
      <x:c r="A25" s="14" t="str">
        <x:v>R.24</x:v>
      </x:c>
      <x:c r="B25" s="14" t="str">
        <x:v>Mantenedor de usuarios</x:v>
      </x:c>
      <x:c r="C25" s="14" t="str">
        <x:v>Funcional</x:v>
      </x:c>
      <x:c r="D25" s="14" t="str">
        <x:v>Funcional de sistema</x:v>
      </x:c>
      <x:c r="E25" s="14" t="str">
        <x:v>Administrador</x:v>
      </x:c>
      <x:c r="F25" s="14" t="str">
        <x:v>El Administrador debe listar, crear y editar usuarios.</x:v>
      </x:c>
      <x:c r="G25" s="14" t="str">
        <x:v>La vista administrativa permite alta, listado y edición de usuarios.</x:v>
      </x:c>
      <x:c r="H25" s="14" t="str">
        <x:v>admin-usuarios.html; admin-usuarios.js</x:v>
      </x:c>
      <x:c r="I25" s="14" t="str">
        <x:v>Completado</x:v>
      </x:c>
      <x:c r="J25" s="14" t="str">
        <x:v>Anexo 1, págs. 11-16.</x:v>
      </x:c>
    </x:row>
    <x:row r="26">
      <x:c r="A26" s="14" t="str">
        <x:v>R.25</x:v>
      </x:c>
      <x:c r="B26" s="14" t="str">
        <x:v>Validaciones de usuario</x:v>
      </x:c>
      <x:c r="C26" s="14" t="str">
        <x:v>Funcional</x:v>
      </x:c>
      <x:c r="D26" s="14" t="str">
        <x:v>Funcional de sistema</x:v>
      </x:c>
      <x:c r="E26" s="14" t="str">
        <x:v>Administrador / Cliente</x:v>
      </x:c>
      <x:c r="F26" s="14" t="str">
        <x:v>RUN requerido y válido sin puntos/guion (7-9); nombre requerido máx. 50; apellidos requerido máx. 100; correo requerido máx. 100 con dominios permitidos; fecha nacimiento opcional; dirección requerida máx. 300.</x:v>
      </x:c>
      <x:c r="G26" s="14" t="str">
        <x:v>Los formularios de usuario/registro validan formato, DV, longitudes, correo y dirección antes de guardar.</x:v>
      </x:c>
      <x:c r="H26" s="14" t="str">
        <x:v>admin-usuarios.js; registro.js; admin-usuarios.html; registro.html</x:v>
      </x:c>
      <x:c r="I26" s="14" t="str">
        <x:v>Completado</x:v>
      </x:c>
      <x:c r="J26" s="14" t="str">
        <x:v>Anexo 1, págs. 15-16.</x:v>
      </x:c>
    </x:row>
    <x:row r="27">
      <x:c r="A27" s="14" t="str">
        <x:v>R.26</x:v>
      </x:c>
      <x:c r="B27" s="14" t="str">
        <x:v>Región y comuna dependientes</x:v>
      </x:c>
      <x:c r="C27" s="14" t="str">
        <x:v>Funcional</x:v>
      </x:c>
      <x:c r="D27" s="14" t="str">
        <x:v>Funcional de sistema</x:v>
      </x:c>
      <x:c r="E27" s="14" t="str">
        <x:v>Administrador / Cliente</x:v>
      </x:c>
      <x:c r="F27" s="14" t="str">
        <x:v>Las regiones deben provenir de un arreglo JavaScript y al cambiar región debe actualizarse la lista de comunas.</x:v>
      </x:c>
      <x:c r="G27" s="14" t="str">
        <x:v>Los selectores de región/comuna se cargan dinámicamente y la comuna depende de la región.</x:v>
      </x:c>
      <x:c r="H27" s="14" t="str">
        <x:v>admin-usuarios.js; registro.js</x:v>
      </x:c>
      <x:c r="I27" s="14" t="str">
        <x:v>Completado</x:v>
      </x:c>
      <x:c r="J27" s="14" t="str">
        <x:v>Anexo 1, pág. 16.</x:v>
      </x:c>
    </x:row>
    <x:row r="28">
      <x:c r="A28" s="14" t="str">
        <x:v>R.27</x:v>
      </x:c>
      <x:c r="B28" s="14" t="str">
        <x:v>Rol Administrador</x:v>
      </x:c>
      <x:c r="C28" s="14" t="str">
        <x:v>Funcional</x:v>
      </x:c>
      <x:c r="D28" s="14" t="str">
        <x:v>Funcional de sistema</x:v>
      </x:c>
      <x:c r="E28" s="14" t="str">
        <x:v>Administrador</x:v>
      </x:c>
      <x:c r="F28" s="14" t="str">
        <x:v>El Administrador debe tener acceso total al sistema.</x:v>
      </x:c>
      <x:c r="G28" s="14" t="str">
        <x:v>Puede acceder a inicio, productos, usuarios y órdenes administrativas; las vistas están protegidas por rol.</x:v>
      </x:c>
      <x:c r="H28" s="14" t="str">
        <x:v>admin-seguridad.js; admin*.html/js</x:v>
      </x:c>
      <x:c r="I28" s="14" t="str">
        <x:v>Completado</x:v>
      </x:c>
      <x:c r="J28" s="14" t="str">
        <x:v>Anexo 1, pág. 16.</x:v>
      </x:c>
    </x:row>
    <x:row r="29">
      <x:c r="A29" s="14" t="str">
        <x:v>R.28</x:v>
      </x:c>
      <x:c r="B29" s="14" t="str">
        <x:v>Rol Vendedor</x:v>
      </x:c>
      <x:c r="C29" s="14" t="str">
        <x:v>Funcional</x:v>
      </x:c>
      <x:c r="D29" s="14" t="str">
        <x:v>Funcional de sistema</x:v>
      </x:c>
      <x:c r="E29" s="14" t="str">
        <x:v>Vendedor</x:v>
      </x:c>
      <x:c r="F29" s="14" t="str">
        <x:v>El Vendedor puede visualizar lista/detalle de productos y lista/detalle de órdenes; otros accesos no deben aparecer.</x:v>
      </x:c>
      <x:c r="G29" s="14" t="str">
        <x:v>El módulo del vendedor expone solo Productos y Órdenes, y vendedor-seguridad.js restringe el acceso.</x:v>
      </x:c>
      <x:c r="H29" s="14" t="str">
        <x:v>vendedor.html; vendedor-productos.html/js; vendedor-producto-detalle.html/js; vendedor-ordenes.html/js; vendedor-orden-detalle.html/js; vendedor-seguridad.js</x:v>
      </x:c>
      <x:c r="I29" s="14" t="str">
        <x:v>Completado</x:v>
      </x:c>
      <x:c r="J29" s="14" t="str">
        <x:v>Anexo 1, pág. 16.</x:v>
      </x:c>
    </x:row>
    <x:row r="30">
      <x:c r="A30" s="14" t="str">
        <x:v>R.29</x:v>
      </x:c>
      <x:c r="B30" s="14" t="str">
        <x:v>Rol Cliente</x:v>
      </x:c>
      <x:c r="C30" s="14" t="str">
        <x:v>Funcional</x:v>
      </x:c>
      <x:c r="D30" s="14" t="str">
        <x:v>Funcional de sistema</x:v>
      </x:c>
      <x:c r="E30" s="14" t="str">
        <x:v>Cliente</x:v>
      </x:c>
      <x:c r="F30" s="14" t="str">
        <x:v>El Cliente solo puede acceder a la tienda y a sus funciones de compra.</x:v>
      </x:c>
      <x:c r="G30" s="14" t="str">
        <x:v>El Cliente navega la tienda y puede consultar sus propios pedidos; no puede ingresar a administración ni vendedor.</x:v>
      </x:c>
      <x:c r="H30" s="14" t="str">
        <x:v>sesion.js; mis-pedidos.html/js; pedido-detalle.html/js; controles de seguridad</x:v>
      </x:c>
      <x:c r="I30" s="14" t="str">
        <x:v>Completado</x:v>
      </x:c>
      <x:c r="J30" s="14" t="str">
        <x:v>Anexo 1, pág. 16. 'Mis pedidos' se considera autoservicio dentro de la tienda.</x:v>
      </x:c>
    </x:row>
    <x:row r="31">
      <x:c r="A31" s="14" t="str">
        <x:v>R.30</x:v>
      </x:c>
      <x:c r="B31" s="14" t="str">
        <x:v>Autenticación y control de acceso</x:v>
      </x:c>
      <x:c r="C31" s="14" t="str">
        <x:v>Funcional</x:v>
      </x:c>
      <x:c r="D31" s="14" t="str">
        <x:v>Funcional de sistema</x:v>
      </x:c>
      <x:c r="E31" s="14" t="str">
        <x:v>Administrador / Cliente / Vendedor</x:v>
      </x:c>
      <x:c r="F31" s="14" t="str">
        <x:v>Las vistas restringidas deben comprobar sesión y rol antes de permitir acceso.</x:v>
      </x:c>
      <x:c r="G31" s="14" t="str">
        <x:v>Los módulos administrativos y vendedor redirigen si la sesión no tiene el rol correcto; login redirige según tipoUsuario.</x:v>
      </x:c>
      <x:c r="H31" s="14" t="str">
        <x:v>login.js; admin-seguridad.js; vendedor-seguridad.js; sesion.js</x:v>
      </x:c>
      <x:c r="I31" s="14" t="str">
        <x:v>Completado</x:v>
      </x:c>
      <x:c r="J31" s="14" t="str">
        <x:v>Derivado de págs. 10 y 16.</x:v>
      </x:c>
    </x:row>
    <x:row r="32">
      <x:c r="A32" s="14" t="str">
        <x:v>R.31</x:v>
      </x:c>
      <x:c r="B32" s="14" t="str">
        <x:v>Órdenes de compra y seguimiento</x:v>
      </x:c>
      <x:c r="C32" s="14" t="str">
        <x:v>Funcional</x:v>
      </x:c>
      <x:c r="D32" s="14" t="str">
        <x:v>Funcional de sistema</x:v>
      </x:c>
      <x:c r="E32" s="14" t="str">
        <x:v>Administrador / Vendedor / Cliente</x:v>
      </x:c>
      <x:c r="F32" s="14" t="str">
        <x:v>Las compras generan órdenes consultables; Administrador gestiona estado, Vendedor consulta y Cliente ve sus propios pedidos.</x:v>
      </x:c>
      <x:c r="G32" s="14" t="str">
        <x:v>La compra crea ordenesAlbedo; existen lista/detalle para Admin y Vendedor y seguimiento para Cliente.</x:v>
      </x:c>
      <x:c r="H32" s="14" t="str">
        <x:v>carrito.js; admin-ordenes.html/js; admin-orden-detalle.html/js; vendedor-ordenes.html/js; vendedor-orden-detalle.html/js; mis-pedidos.html/js; pedido-detalle.html/js</x:v>
      </x:c>
      <x:c r="I32" s="14" t="str">
        <x:v>Completado</x:v>
      </x:c>
      <x:c r="J32" s="14" t="str">
        <x:v>Funcionalidad de apoyo coherente con los permisos del Vendedor definidos en pág. 16.</x:v>
      </x:c>
    </x:row>
    <x:row r="33">
      <x:c r="A33" s="14" t="str">
        <x:v>R.32</x:v>
      </x:c>
      <x:c r="B33" s="14" t="str">
        <x:v>Repositorio remoto y commits</x:v>
      </x:c>
      <x:c r="C33" s="14" t="str">
        <x:v>No Funcional</x:v>
      </x:c>
      <x:c r="D33" s="14" t="str">
        <x:v>No funcional de organización</x:v>
      </x:c>
      <x:c r="E33" s="14" t="str">
        <x:v>Equipo de desarrollo</x:v>
      </x:c>
      <x:c r="F33" s="14" t="str">
        <x:v>El proyecto debe estar en un repositorio remoto GitHub y registrar cambios con mensajes claros/coherentes.</x:v>
      </x:c>
      <x:c r="G33" s="14" t="str">
        <x:v>El repositorio remoto contiene ramas, commits y versiones del proyecto; se usa flujo feature -&gt; main.</x:v>
      </x:c>
      <x:c r="H33" s="14" t="str">
        <x:v>GitHub: Clau3333/tienda-outdoor</x:v>
      </x:c>
      <x:c r="I33" s="14" t="str">
        <x:v>Completado</x:v>
      </x:c>
      <x:c r="J33" s="14" t="str">
        <x:v>Anexo 1, págs. 1 y 17.</x:v>
      </x:c>
    </x:row>
    <x:row r="34">
      <x:c r="A34" s="14" t="str">
        <x:v>R.33</x:v>
      </x:c>
      <x:c r="B34" s="14" t="str">
        <x:v>Documentación ERS y requisitos</x:v>
      </x:c>
      <x:c r="C34" s="14" t="str">
        <x:v>No Funcional</x:v>
      </x:c>
      <x:c r="D34" s="14" t="str">
        <x:v>No funcional de organización</x:v>
      </x:c>
      <x:c r="E34" s="14" t="str">
        <x:v>Equipo de desarrollo</x:v>
      </x:c>
      <x:c r="F34" s="14" t="str">
        <x:v>El equipo debe definir requerimientos, herramientas y propuesta mediante ERS y planilla de requerimientos.</x:v>
      </x:c>
      <x:c r="G34" s="14" t="str">
        <x:v>Se entregan ERS versión 1 actualizada y Anexo 2 final con criterios de aceptación, trazabilidad y estado.</x:v>
      </x:c>
      <x:c r="H34" s="14" t="str">
        <x:v>ALBEDO_ERS_Version_1_FINAL.docx; ALBEDO_Anexo_2_Requerimientos_FINAL.xlsx</x:v>
      </x:c>
      <x:c r="I34" s="14" t="str">
        <x:v>Completado</x:v>
      </x:c>
      <x:c r="J34" s="14" t="str">
        <x:v>Anexo 1, pág. 17.</x:v>
      </x:c>
    </x:row>
  </x:sheetData>
  <x:conditionalFormatting sqref="I2:I34">
    <x:cfRule type="expression" dxfId="0" priority="1">
      <x:formula>I2="Completado"</x:formula>
    </x:cfRule>
    <x:cfRule type="expression" dxfId="1" priority="2">
      <x:formula>I2="Implementado - QA final"</x:formula>
    </x:cfRule>
    <x:cfRule type="expression" dxfId="2" priority="3">
      <x:formula>I2="Requiere ajuste"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97f91cd9816468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4" hidden="0" customWidth="1"/>
    <x:col min="3" max="3" width="26" hidden="0" customWidth="1"/>
    <x:col min="4" max="4" width="45" hidden="0" customWidth="1"/>
    <x:col min="5" max="5" width="22" hidden="0" customWidth="1"/>
    <x:col min="6" max="6" width="40" hidden="0" customWidth="1"/>
  </x:cols>
  <x:sheetData>
    <x:row r="1" ht="34" customHeight="1">
      <x:c r="A1" s="6" t="str">
        <x:v>Ítem / criterio del Anexo 1</x:v>
      </x:c>
      <x:c r="B1" s="6" t="str">
        <x:v>Páginas fuente</x:v>
      </x:c>
      <x:c r="C1" s="6" t="str">
        <x:v>Requisitos relacionados</x:v>
      </x:c>
      <x:c r="D1" s="6" t="str">
        <x:v>Evidencia principal</x:v>
      </x:c>
      <x:c r="E1" s="6" t="str">
        <x:v>Estado</x:v>
      </x:c>
      <x:c r="F1" s="6" t="str">
        <x:v>Acción antes de entrega</x:v>
      </x:c>
    </x:row>
    <x:row r="2">
      <x:c r="A2" s="14" t="str">
        <x:v>HTML actual y estructura semántica</x:v>
      </x:c>
      <x:c r="B2" s="14" t="str">
        <x:v>1-3</x:v>
      </x:c>
      <x:c r="C2" s="14" t="str">
        <x:v>R.1, R.2, R.3, R.4</x:v>
      </x:c>
      <x:c r="D2" s="14" t="str">
        <x:v>Vistas HTML públicas, administrativas y vendedor</x:v>
      </x:c>
      <x:c r="E2" s="14" t="str">
        <x:v>Completado</x:v>
      </x:c>
      <x:c r="F2" s="14" t="str">
        <x:v>Demostrar etiquetas semánticas en defensa.</x:v>
      </x:c>
    </x:row>
    <x:row r="3">
      <x:c r="A3" s="14" t="str">
        <x:v>Navegación completa e interacción</x:v>
      </x:c>
      <x:c r="B3" s="14" t="str">
        <x:v>1-3, 5-11</x:v>
      </x:c>
      <x:c r="C3" s="14" t="str">
        <x:v>R.1, R.2, R.4, R.8-R.20</x:v>
      </x:c>
      <x:c r="D3" s="14" t="str">
        <x:v>Menús, botones, formularios y rutas entre vistas</x:v>
      </x:c>
      <x:c r="E3" s="14" t="str">
        <x:v>Completado</x:v>
      </x:c>
      <x:c r="F3" s="14" t="str">
        <x:v>Recorrer flujo completo en demo.</x:v>
      </x:c>
    </x:row>
    <x:row r="4">
      <x:c r="A4" s="14" t="str">
        <x:v>CSS externo, consistente y responsivo</x:v>
      </x:c>
      <x:c r="B4" s="14" t="str">
        <x:v>1</x:v>
      </x:c>
      <x:c r="C4" s="14" t="str">
        <x:v>R.6, R.7</x:v>
      </x:c>
      <x:c r="D4" s="14" t="str">
        <x:v>estilos.css; admin.css; Bootstrap</x:v>
      </x:c>
      <x:c r="E4" s="14" t="str">
        <x:v>Implementado - QA final</x:v>
      </x:c>
      <x:c r="F4" s="14" t="str">
        <x:v>Terminar prueba móvil página por página.</x:v>
      </x:c>
    </x:row>
    <x:row r="5">
      <x:c r="A5" s="14" t="str">
        <x:v>Validación JavaScript en tiempo real</x:v>
      </x:c>
      <x:c r="B5" s="14" t="str">
        <x:v>1, 13-16</x:v>
      </x:c>
      <x:c r="C5" s="14" t="str">
        <x:v>R.10, R.15, R.22, R.25, R.26</x:v>
      </x:c>
      <x:c r="D5" s="14" t="str">
        <x:v>login.js; funciones.js; admin-productos.js; admin-usuarios.js; registro.js</x:v>
      </x:c>
      <x:c r="E5" s="14" t="str">
        <x:v>Requiere ajuste</x:v>
      </x:c>
      <x:c r="F5" s="14" t="str">
        <x:v>Cambiar contraseña de login de exactos 10 a rango 4-10.</x:v>
      </x:c>
    </x:row>
    <x:row r="6">
      <x:c r="A6" s="14" t="str">
        <x:v>Catálogo JavaScript y carrito localStorage</x:v>
      </x:c>
      <x:c r="B6" s="14" t="str">
        <x:v>8-9, 14</x:v>
      </x:c>
      <x:c r="C6" s="14" t="str">
        <x:v>R.16-R.19</x:v>
      </x:c>
      <x:c r="D6" s="14" t="str">
        <x:v>productos.js; catalogo.js; producto-detalle.js; carrito.js</x:v>
      </x:c>
      <x:c r="E6" s="14" t="str">
        <x:v>Completado</x:v>
      </x:c>
      <x:c r="F6" s="14" t="str">
        <x:v>Probar añadir, cambiar cantidad, persistencia y compra.</x:v>
      </x:c>
    </x:row>
    <x:row r="7">
      <x:c r="A7" s="14" t="str">
        <x:v>Administrador protegido y mantenedores</x:v>
      </x:c>
      <x:c r="B7" s="14" t="str">
        <x:v>10-16</x:v>
      </x:c>
      <x:c r="C7" s="14" t="str">
        <x:v>R.20-R.27, R.30-R.31</x:v>
      </x:c>
      <x:c r="D7" s="14" t="str">
        <x:v>admin*.html/js; admin-seguridad.js</x:v>
      </x:c>
      <x:c r="E7" s="14" t="str">
        <x:v>Completado</x:v>
      </x:c>
      <x:c r="F7" s="14" t="str">
        <x:v>Probar acceso directo con rol Cliente/Vendedor.</x:v>
      </x:c>
    </x:row>
    <x:row r="8">
      <x:c r="A8" s="14" t="str">
        <x:v>Roles Administrador / Vendedor / Cliente</x:v>
      </x:c>
      <x:c r="B8" s="14" t="str">
        <x:v>16</x:v>
      </x:c>
      <x:c r="C8" s="14" t="str">
        <x:v>R.27-R.30</x:v>
      </x:c>
      <x:c r="D8" s="14" t="str">
        <x:v>seguridad por rol y menús específicos</x:v>
      </x:c>
      <x:c r="E8" s="14" t="str">
        <x:v>Completado</x:v>
      </x:c>
      <x:c r="F8" s="14" t="str">
        <x:v>Mostrar qué ve cada rol.</x:v>
      </x:c>
    </x:row>
    <x:row r="9">
      <x:c r="A9" s="14" t="str">
        <x:v>GitHub y colaboración</x:v>
      </x:c>
      <x:c r="B9" s="14" t="str">
        <x:v>1, 17</x:v>
      </x:c>
      <x:c r="C9" s="14" t="str">
        <x:v>R.32</x:v>
      </x:c>
      <x:c r="D9" s="14" t="str">
        <x:v>Repositorio remoto, ramas feature y main, commits</x:v>
      </x:c>
      <x:c r="E9" s="14" t="str">
        <x:v>Completado</x:v>
      </x:c>
      <x:c r="F9" s="14" t="str">
        <x:v>Mostrar historial de commits y explicar add/commit/push/pull/merge.</x:v>
      </x:c>
    </x:row>
    <x:row r="10">
      <x:c r="A10" s="14" t="str">
        <x:v>ERS + planilla de requerimientos</x:v>
      </x:c>
      <x:c r="B10" s="14" t="str">
        <x:v>17</x:v>
      </x:c>
      <x:c r="C10" s="14" t="str">
        <x:v>R.33</x:v>
      </x:c>
      <x:c r="D10" s="14" t="str">
        <x:v>Documentos finales adjuntos</x:v>
      </x:c>
      <x:c r="E10" s="14" t="str">
        <x:v>Completado</x:v>
      </x:c>
      <x:c r="F10" s="14" t="str">
        <x:v>Incluir ambos archivos en entrega/ZIP.</x:v>
      </x:c>
    </x:row>
    <x:row r="11">
      <x:c r="A11" s="14" t="str">
        <x:v>Presentación funcional + preguntas</x:v>
      </x:c>
      <x:c r="B11" s="14" t="str">
        <x:v>17</x:v>
      </x:c>
      <x:c r="C11" s="14" t="str">
        <x:v>Todos</x:v>
      </x:c>
      <x:c r="D11" s="14" t="str">
        <x:v>Demo del sistema + defensa técnica</x:v>
      </x:c>
      <x:c r="E11" s="14" t="str">
        <x:v>Preparado</x:v>
      </x:c>
      <x:c r="F11" s="14" t="str">
        <x:v>Ensayar 15 min + 5 min de preguntas.</x:v>
      </x:c>
    </x:row>
  </x:sheetData>
  <x:conditionalFormatting sqref="E2:E11">
    <x:cfRule type="expression" dxfId="3" priority="1">
      <x:formula>E2="Completado"</x:formula>
    </x:cfRule>
    <x:cfRule type="expression" dxfId="4" priority="2">
      <x:formula>E2="Implementado - QA final"</x:formula>
    </x:cfRule>
    <x:cfRule type="expression" dxfId="5" priority="3">
      <x:formula>E2="Requiere ajuste"</x:formula>
    </x:cfRule>
    <x:cfRule type="expression" dxfId="6" priority="4">
      <x:formula>E2="Preparado"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0" hidden="0" customWidth="1"/>
  </x:cols>
  <x:sheetData>
    <x:row r="1" ht="30" customHeight="1">
      <x:c r="A1" s="26" t="str">
        <x:v>ALBEDO Outdoor - Cobertura Evaluación Parcial 1</x:v>
      </x:c>
      <x:c r="B1" s="26"/>
    </x:row>
    <x:row r="2">
      <x:c r="A2" s="27" t="str">
        <x:v>Fecha de actualización</x:v>
      </x:c>
      <x:c r="B2" s="12" t="str">
        <x:v>24-09-2026</x:v>
      </x:c>
    </x:row>
    <x:row r="3">
      <x:c r="A3" s="27" t="str">
        <x:v>Total de requisitos</x:v>
      </x:c>
      <x:c r="B3" s="12" t="n">
        <x:f>COUNTA('Requerimientos Finales'!A2:A34)</x:f>
        <x:v>33</x:v>
      </x:c>
    </x:row>
    <x:row r="4">
      <x:c r="A4" s="27" t="str">
        <x:v>Completados</x:v>
      </x:c>
      <x:c r="B4" s="12" t="n">
        <x:f>COUNTIF('Requerimientos Finales'!I2:I34,"Completado")</x:f>
        <x:v>31</x:v>
      </x:c>
    </x:row>
    <x:row r="5">
      <x:c r="A5" s="27" t="str">
        <x:v>Implementados con QA final</x:v>
      </x:c>
      <x:c r="B5" s="12" t="n">
        <x:f>COUNTIF('Requerimientos Finales'!I2:I34,"Implementado - QA final")</x:f>
        <x:v>1</x:v>
      </x:c>
    </x:row>
    <x:row r="6">
      <x:c r="A6" s="27" t="str">
        <x:v>Requieren ajuste</x:v>
      </x:c>
      <x:c r="B6" s="12" t="n">
        <x:f>COUNTIF('Requerimientos Finales'!I2:I34,"Requiere ajuste")</x:f>
        <x:v>1</x:v>
      </x:c>
    </x:row>
    <x:row r="7">
      <x:c r="A7" s="27" t="str">
        <x:v>Pendientes</x:v>
      </x:c>
      <x:c r="B7" s="12" t="n">
        <x:f>COUNTIF('Requerimientos Finales'!I2:I34,"Pendiente")</x:f>
        <x:v>0</x:v>
      </x:c>
    </x:row>
    <x:row r="8">
      <x:c r="A8" s="27" t="str">
        <x:v>Cobertura documental</x:v>
      </x:c>
      <x:c r="B8" s="12" t="str">
        <x:v>100% de los criterios del Anexo 1 están trazados en esta planilla.</x:v>
      </x:c>
    </x:row>
    <x:row r="9">
      <x:c r="A9" s="27" t="str">
        <x:v>Observación crítica</x:v>
      </x:c>
      <x:c r="B9" s="12" t="str">
        <x:v>Para afirmar cumplimiento técnico 100%, ajustar contraseña de login a rango 4-10 y cerrar QA responsive global.</x:v>
      </x:c>
    </x:row>
    <x:row r="10">
      <x:c r="A10" s="27" t="str">
        <x:v>Repositorio</x:v>
      </x:c>
      <x:c r="B10" s="12" t="str">
        <x:v>https://github.com/Clau3333/tienda-outdoor</x:v>
      </x:c>
    </x:row>
  </x:sheetData>
  <x:mergeCells>
    <x:mergeCell ref="A1:B1"/>
  </x:mergeCells>
  <x:pageMargins left="0.7" right="0.7" top="0.75" bottom="0.75" header="0.3" footer="0.3"/>
</x:worksheet>
</file>